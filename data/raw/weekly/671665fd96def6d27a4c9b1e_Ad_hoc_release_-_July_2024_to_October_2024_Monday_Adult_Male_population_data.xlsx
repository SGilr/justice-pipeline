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justiceuk.sharepoint.com/sites/HMPPS-HQ-PS-CC-CMgt/Shared Documents/DataPrep/DJE Data/"/>
    </mc:Choice>
  </mc:AlternateContent>
  <xr:revisionPtr revIDLastSave="0" documentId="8_{F0DEB699-CF12-4377-AADB-BBC1B1026B7C}" xr6:coauthVersionLast="47" xr6:coauthVersionMax="47" xr10:uidLastSave="{00000000-0000-0000-0000-000000000000}"/>
  <bookViews>
    <workbookView xWindow="-108" yWindow="-108" windowWidth="30936" windowHeight="16896" xr2:uid="{C8A3679B-AACE-49D6-A034-67ED570C9F95}"/>
  </bookViews>
  <sheets>
    <sheet name="AdultMaleHistory" sheetId="1" r:id="rId1"/>
    <sheet name="No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1" l="1"/>
  <c r="E18" i="1"/>
  <c r="F17" i="1"/>
  <c r="E17" i="1"/>
</calcChain>
</file>

<file path=xl/sharedStrings.xml><?xml version="1.0" encoding="utf-8"?>
<sst xmlns="http://schemas.openxmlformats.org/spreadsheetml/2006/main" count="30" uniqueCount="30">
  <si>
    <t>Population</t>
  </si>
  <si>
    <t>Date (Monday)</t>
  </si>
  <si>
    <t>Useable 
Operational 
Capacity</t>
  </si>
  <si>
    <t>Headroom 
(Number 
of 
Vacancies)</t>
  </si>
  <si>
    <t>Occupancy 
rate (%)</t>
  </si>
  <si>
    <t>Information to cover the period January 2023 to July 2024 can be found at the link below:</t>
  </si>
  <si>
    <t>https://www.gov.uk/government/publications/ad-hoc-adult-male-prison-population-and-capacity-release</t>
  </si>
  <si>
    <t>Adult Male Estate</t>
  </si>
  <si>
    <t xml:space="preserve">Explanatory Notes
</t>
  </si>
  <si>
    <t xml:space="preserve">The Operational Capacity of a prison is the total number of prisoners that an establishment can hold 
taking into account control, security and the proper operation of the planned regime. </t>
  </si>
  <si>
    <t>It is determined 
by HMPPS Prison Group Directors on the basis of operational judgement and experience.</t>
  </si>
  <si>
    <t>Useable Operational Capacity of the estate is the sum of all establishments’ operational capacity less 
the Operating Margin. This is an assumption of how many places cannot be used on any given day</t>
  </si>
  <si>
    <t xml:space="preserve">
Data on useable operational capacity in this report is drawn from HMPPS Management Information. 
</t>
  </si>
  <si>
    <t xml:space="preserve">Data on the population of the estate is drawn from the National Offender Management Information 
System (NOMIS). </t>
  </si>
  <si>
    <t xml:space="preserve">This is an operational database used in prisons for the management of offenders. </t>
  </si>
  <si>
    <t>It includes information on offenders such as their age group, type of offence(s) and type of custody 
(including those remanded on bail and sentenced).</t>
  </si>
  <si>
    <t xml:space="preserve">Although care is taken when processing and analysing the returns, the information collected is subject 
to the inaccuracies inherent in any large-scale recording system. </t>
  </si>
  <si>
    <t xml:space="preserve">While the figures shown have been checked as far as practicable, they should be regarded as approximate and not necessarily accurate to
the last whole number shown in the tables. </t>
  </si>
  <si>
    <t>Business-as-usual data assurance has been undertaken.</t>
  </si>
  <si>
    <t xml:space="preserve">
Population, capacity and headroom figures are all unrounded, but occupancy is rounded to the 
nearest two decimal places. </t>
  </si>
  <si>
    <t xml:space="preserve">The Operating Margin reflects the constraints imposed by the need to provide appropriate 
accommodation for different classes of prisoner </t>
  </si>
  <si>
    <t>i.e., by security category, conviction status, single cell 
risk assessment and due to geographical distribution in the case of the open estate.</t>
  </si>
  <si>
    <t>26/08/2024*</t>
  </si>
  <si>
    <t>*Bank holidays affect court, prison and probation staffing levels which in turn alters the number of offenders 
entering and leaving custody compared to weeks that do not include Bank Holidays.</t>
  </si>
  <si>
    <t xml:space="preserve"> Population data for these 
weeks has been omitted as these weeks should not be compared with data from weeks that do not include Bank 
Holidays</t>
  </si>
  <si>
    <t>Across the whole estate (adult male, adult female and YCS) the operating margin is currently 1,350.</t>
  </si>
  <si>
    <t xml:space="preserve"> This is reviewed regularly to ensure this assumption is based on the best available evidence and operational insight</t>
  </si>
  <si>
    <t>Change in reporting from Fridays to Mondays</t>
  </si>
  <si>
    <t>Since December 2023, in order to assist with resettlement, a policy change allowed for determinate sentence prisoners to be released one or two days early if their release date falls on a Friday or just before a public holiday. As a result, large population decreases on Fridays are now common, followed by similar increases over the weekend. Releasing data on Fridays remains technically accurate but does not provide the most useful overview of the supply and demand position in the estate, which is the purpose of this transparency data.</t>
  </si>
  <si>
    <t xml:space="preserve">The format has been changed in order to provide a more detailed breakdown than contained within the previous publication. The new publication will break down population and operational capacity data into the HMPPS main cohorts: adult males, females, and prisoners in Young Offender Institutions (YOIs).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</si>
</sst>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8" formatCode="_-* #,##0.00_-;\-* #,##0.00_-;_-* &quot;-&quot;??_-;_-@_-"/>
  </numFmts>
  <fonts count="5" x14ac:knownFonts="1">
    <font>
      <sz val="11"/>
      <color theme="1"/>
      <name val="Aptos Narrow"/>
      <family val="2"/>
      <scheme val="minor"/>
    </font>
    <font>
      <sz val="11"/>
      <color theme="1"/>
      <name val="Aptos Narrow"/>
      <family val="2"/>
      <scheme val="minor"/>
    </font>
    <font>
      <u/>
      <sz val="11"/>
      <color theme="10"/>
      <name val="Aptos Narrow"/>
      <family val="2"/>
      <scheme val="minor"/>
    </font>
    <font>
      <sz val="10"/>
      <name val="Arial"/>
      <family val="2"/>
    </font>
    <font>
      <u/>
      <sz val="10"/>
      <color indexed="12"/>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4" fillId="0" borderId="0" applyNumberFormat="0" applyFill="0" applyBorder="0" applyAlignment="0" applyProtection="0">
      <alignment vertical="top"/>
      <protection locked="0"/>
    </xf>
    <xf numFmtId="0" fontId="3" fillId="0" borderId="0"/>
    <xf numFmtId="168" fontId="1" fillId="0" borderId="0" applyFont="0" applyFill="0" applyBorder="0" applyAlignment="0" applyProtection="0"/>
  </cellStyleXfs>
  <cellXfs count="17">
    <xf numFmtId="0" fontId="0" fillId="0" borderId="0" xfId="0"/>
    <xf numFmtId="0" fontId="0" fillId="2" borderId="0" xfId="0" applyFill="1"/>
    <xf numFmtId="164" fontId="0" fillId="2" borderId="0" xfId="1" applyNumberFormat="1" applyFont="1" applyFill="1"/>
    <xf numFmtId="10" fontId="0" fillId="2" borderId="0" xfId="2" applyNumberFormat="1" applyFont="1" applyFill="1"/>
    <xf numFmtId="164" fontId="0" fillId="2" borderId="1" xfId="1" applyNumberFormat="1" applyFont="1" applyFill="1" applyBorder="1" applyAlignment="1">
      <alignment horizontal="center" vertical="center" wrapText="1"/>
    </xf>
    <xf numFmtId="164" fontId="0" fillId="2" borderId="1" xfId="1" applyNumberFormat="1" applyFont="1" applyFill="1" applyBorder="1" applyAlignment="1">
      <alignment horizontal="center" wrapText="1"/>
    </xf>
    <xf numFmtId="10" fontId="0" fillId="2" borderId="1" xfId="2" applyNumberFormat="1" applyFont="1" applyFill="1" applyBorder="1" applyAlignment="1">
      <alignment horizontal="center" vertical="center" wrapText="1"/>
    </xf>
    <xf numFmtId="0" fontId="0" fillId="2" borderId="0" xfId="0" applyFill="1" applyAlignment="1">
      <alignment wrapText="1"/>
    </xf>
    <xf numFmtId="164" fontId="0" fillId="2" borderId="1" xfId="1" applyNumberFormat="1" applyFont="1" applyFill="1" applyBorder="1"/>
    <xf numFmtId="10" fontId="0" fillId="2" borderId="1" xfId="2" applyNumberFormat="1" applyFont="1" applyFill="1" applyBorder="1"/>
    <xf numFmtId="14" fontId="0" fillId="2" borderId="0" xfId="0" applyNumberFormat="1" applyFill="1" applyAlignment="1">
      <alignment wrapText="1"/>
    </xf>
    <xf numFmtId="14" fontId="0" fillId="2" borderId="1" xfId="0" applyNumberFormat="1" applyFill="1" applyBorder="1"/>
    <xf numFmtId="14" fontId="0" fillId="2" borderId="0" xfId="0" applyNumberFormat="1" applyFill="1"/>
    <xf numFmtId="14" fontId="2" fillId="2" borderId="0" xfId="3" applyNumberFormat="1" applyFill="1" applyAlignment="1"/>
    <xf numFmtId="164" fontId="0" fillId="2" borderId="0" xfId="1" applyNumberFormat="1" applyFont="1" applyFill="1" applyAlignment="1"/>
    <xf numFmtId="10" fontId="0" fillId="2" borderId="0" xfId="2" applyNumberFormat="1" applyFont="1" applyFill="1" applyAlignment="1"/>
    <xf numFmtId="164" fontId="0" fillId="2" borderId="0" xfId="1" applyNumberFormat="1" applyFont="1" applyFill="1" applyAlignment="1">
      <alignment wrapText="1"/>
    </xf>
  </cellXfs>
  <cellStyles count="7">
    <cellStyle name="Comma" xfId="1" builtinId="3"/>
    <cellStyle name="Comma 2" xfId="6" xr:uid="{7212936D-90BE-4466-B06C-C23A486A9F4D}"/>
    <cellStyle name="Hyperlink" xfId="3" builtinId="8"/>
    <cellStyle name="Hyperlink 2" xfId="4" xr:uid="{B8A804A9-E863-4CEA-B20A-5A7F7D13D66C}"/>
    <cellStyle name="Normal" xfId="0" builtinId="0"/>
    <cellStyle name="Normal 2" xfId="5" xr:uid="{A8D9762A-EB1D-4743-92DC-A372E9789C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publications/ad-hoc-adult-male-prison-population-and-capacity-relea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D0C13-F896-4B8F-94F1-CFC4632513C9}">
  <dimension ref="B1:F45"/>
  <sheetViews>
    <sheetView tabSelected="1" workbookViewId="0">
      <selection activeCell="H16" sqref="H16"/>
    </sheetView>
  </sheetViews>
  <sheetFormatPr defaultColWidth="8.81640625" defaultRowHeight="14.5" x14ac:dyDescent="0.35"/>
  <cols>
    <col min="1" max="1" width="8.81640625" style="1"/>
    <col min="2" max="2" width="10.7265625" style="1" bestFit="1" customWidth="1"/>
    <col min="3" max="3" width="10.7265625" style="14" bestFit="1" customWidth="1"/>
    <col min="4" max="4" width="13" style="14" customWidth="1"/>
    <col min="5" max="5" width="11.26953125" style="14" customWidth="1"/>
    <col min="6" max="6" width="11" style="15" bestFit="1" customWidth="1"/>
    <col min="7" max="16384" width="8.81640625" style="1"/>
  </cols>
  <sheetData>
    <row r="1" spans="2:6" x14ac:dyDescent="0.35">
      <c r="C1" s="2"/>
      <c r="D1" s="2"/>
      <c r="E1" s="2"/>
      <c r="F1" s="3"/>
    </row>
    <row r="2" spans="2:6" x14ac:dyDescent="0.35">
      <c r="B2" s="1" t="s">
        <v>7</v>
      </c>
      <c r="C2" s="2"/>
      <c r="D2" s="2"/>
      <c r="E2" s="2"/>
      <c r="F2" s="3"/>
    </row>
    <row r="3" spans="2:6" x14ac:dyDescent="0.35">
      <c r="C3" s="2"/>
      <c r="D3" s="2"/>
      <c r="E3" s="2"/>
      <c r="F3" s="3"/>
    </row>
    <row r="4" spans="2:6" s="7" customFormat="1" ht="58" x14ac:dyDescent="0.35">
      <c r="B4" s="4" t="s">
        <v>1</v>
      </c>
      <c r="C4" s="4" t="s">
        <v>0</v>
      </c>
      <c r="D4" s="4" t="s">
        <v>2</v>
      </c>
      <c r="E4" s="5" t="s">
        <v>3</v>
      </c>
      <c r="F4" s="6" t="s">
        <v>4</v>
      </c>
    </row>
    <row r="5" spans="2:6" x14ac:dyDescent="0.35">
      <c r="B5" s="11">
        <v>45488</v>
      </c>
      <c r="C5" s="8">
        <v>83779</v>
      </c>
      <c r="D5" s="8">
        <v>84555</v>
      </c>
      <c r="E5" s="8">
        <v>776</v>
      </c>
      <c r="F5" s="9">
        <v>0.99082254154100879</v>
      </c>
    </row>
    <row r="6" spans="2:6" x14ac:dyDescent="0.35">
      <c r="B6" s="11">
        <v>45495</v>
      </c>
      <c r="C6" s="8">
        <v>83634</v>
      </c>
      <c r="D6" s="8">
        <v>84447</v>
      </c>
      <c r="E6" s="8">
        <v>813</v>
      </c>
      <c r="F6" s="9">
        <v>0.99037265977476996</v>
      </c>
    </row>
    <row r="7" spans="2:6" x14ac:dyDescent="0.35">
      <c r="B7" s="11">
        <v>45502</v>
      </c>
      <c r="C7" s="8">
        <v>83727</v>
      </c>
      <c r="D7" s="8">
        <v>84461</v>
      </c>
      <c r="E7" s="8">
        <v>734</v>
      </c>
      <c r="F7" s="9">
        <v>0.99130959851292311</v>
      </c>
    </row>
    <row r="8" spans="2:6" x14ac:dyDescent="0.35">
      <c r="B8" s="11">
        <v>45509</v>
      </c>
      <c r="C8" s="8">
        <v>83679</v>
      </c>
      <c r="D8" s="8">
        <v>84431</v>
      </c>
      <c r="E8" s="8">
        <v>752</v>
      </c>
      <c r="F8" s="9">
        <v>0.99109331880470442</v>
      </c>
    </row>
    <row r="9" spans="2:6" x14ac:dyDescent="0.35">
      <c r="B9" s="11">
        <v>45516</v>
      </c>
      <c r="C9" s="8">
        <v>83876</v>
      </c>
      <c r="D9" s="8">
        <v>84535</v>
      </c>
      <c r="E9" s="8">
        <v>659</v>
      </c>
      <c r="F9" s="9">
        <v>0.99220441237357304</v>
      </c>
    </row>
    <row r="10" spans="2:6" x14ac:dyDescent="0.35">
      <c r="B10" s="11">
        <v>45523</v>
      </c>
      <c r="C10" s="8">
        <v>84318</v>
      </c>
      <c r="D10" s="8">
        <v>84810</v>
      </c>
      <c r="E10" s="8">
        <v>492</v>
      </c>
      <c r="F10" s="9">
        <v>0.99419879731163774</v>
      </c>
    </row>
    <row r="11" spans="2:6" x14ac:dyDescent="0.35">
      <c r="B11" s="11" t="s">
        <v>22</v>
      </c>
      <c r="C11" s="8"/>
      <c r="D11" s="8"/>
      <c r="E11" s="8"/>
      <c r="F11" s="9"/>
    </row>
    <row r="12" spans="2:6" x14ac:dyDescent="0.35">
      <c r="B12" s="11">
        <v>45537</v>
      </c>
      <c r="C12" s="8">
        <v>84616</v>
      </c>
      <c r="D12" s="8">
        <v>85154</v>
      </c>
      <c r="E12" s="8">
        <v>538</v>
      </c>
      <c r="F12" s="9">
        <v>0.99368203490147267</v>
      </c>
    </row>
    <row r="13" spans="2:6" x14ac:dyDescent="0.35">
      <c r="B13" s="11">
        <v>45544</v>
      </c>
      <c r="C13" s="8">
        <v>84812</v>
      </c>
      <c r="D13" s="8">
        <v>85230</v>
      </c>
      <c r="E13" s="8">
        <v>418</v>
      </c>
      <c r="F13" s="9">
        <v>0.99509562360671122</v>
      </c>
    </row>
    <row r="14" spans="2:6" x14ac:dyDescent="0.35">
      <c r="B14" s="11">
        <v>45551</v>
      </c>
      <c r="C14" s="8">
        <v>82825</v>
      </c>
      <c r="D14" s="8">
        <v>85178</v>
      </c>
      <c r="E14" s="8">
        <v>2353</v>
      </c>
      <c r="F14" s="9">
        <v>0.97237549602009909</v>
      </c>
    </row>
    <row r="15" spans="2:6" x14ac:dyDescent="0.35">
      <c r="B15" s="11">
        <v>45558</v>
      </c>
      <c r="C15" s="8">
        <v>82935</v>
      </c>
      <c r="D15" s="8">
        <v>85075</v>
      </c>
      <c r="E15" s="8">
        <v>2140</v>
      </c>
      <c r="F15" s="9">
        <v>0.97484572436085803</v>
      </c>
    </row>
    <row r="16" spans="2:6" x14ac:dyDescent="0.35">
      <c r="B16" s="11">
        <v>45565</v>
      </c>
      <c r="C16" s="8">
        <v>83070</v>
      </c>
      <c r="D16" s="8">
        <v>85023</v>
      </c>
      <c r="E16" s="8">
        <v>1953</v>
      </c>
      <c r="F16" s="9">
        <v>0.97702974489255845</v>
      </c>
    </row>
    <row r="17" spans="2:6" x14ac:dyDescent="0.35">
      <c r="B17" s="11">
        <v>45572</v>
      </c>
      <c r="C17" s="8">
        <v>83121</v>
      </c>
      <c r="D17" s="8">
        <v>84981</v>
      </c>
      <c r="E17" s="8">
        <f>D17-C17</f>
        <v>1860</v>
      </c>
      <c r="F17" s="9">
        <f>C17/D17</f>
        <v>0.97811275461573766</v>
      </c>
    </row>
    <row r="18" spans="2:6" x14ac:dyDescent="0.35">
      <c r="B18" s="11">
        <v>45579</v>
      </c>
      <c r="C18" s="8">
        <v>83297</v>
      </c>
      <c r="D18" s="8">
        <v>84925</v>
      </c>
      <c r="E18" s="8">
        <f>D18-C18</f>
        <v>1628</v>
      </c>
      <c r="F18" s="9">
        <f>C18/D18</f>
        <v>0.98083014424492199</v>
      </c>
    </row>
    <row r="19" spans="2:6" x14ac:dyDescent="0.35">
      <c r="B19" s="12"/>
      <c r="C19" s="2"/>
      <c r="D19" s="2"/>
      <c r="E19" s="2"/>
      <c r="F19" s="3"/>
    </row>
    <row r="20" spans="2:6" x14ac:dyDescent="0.35">
      <c r="B20" s="12" t="s">
        <v>23</v>
      </c>
      <c r="C20" s="16"/>
      <c r="D20" s="2"/>
      <c r="E20" s="2"/>
      <c r="F20" s="3"/>
    </row>
    <row r="21" spans="2:6" x14ac:dyDescent="0.35">
      <c r="B21" s="12" t="s">
        <v>24</v>
      </c>
      <c r="C21" s="16"/>
      <c r="D21" s="2"/>
      <c r="E21" s="2"/>
      <c r="F21" s="3"/>
    </row>
    <row r="22" spans="2:6" ht="28.15" customHeight="1" x14ac:dyDescent="0.35">
      <c r="B22" s="12" t="s">
        <v>5</v>
      </c>
      <c r="C22" s="10"/>
      <c r="D22" s="10"/>
      <c r="E22" s="10"/>
      <c r="F22" s="10"/>
    </row>
    <row r="23" spans="2:6" x14ac:dyDescent="0.35">
      <c r="B23" s="13" t="s">
        <v>6</v>
      </c>
      <c r="C23" s="2"/>
      <c r="D23" s="2"/>
      <c r="E23" s="2"/>
      <c r="F23" s="3"/>
    </row>
    <row r="24" spans="2:6" x14ac:dyDescent="0.35">
      <c r="B24" s="12"/>
      <c r="C24" s="2"/>
      <c r="D24" s="2"/>
      <c r="E24" s="2"/>
      <c r="F24" s="3"/>
    </row>
    <row r="25" spans="2:6" x14ac:dyDescent="0.35">
      <c r="B25" s="12"/>
      <c r="C25" s="2"/>
      <c r="D25" s="2"/>
      <c r="E25" s="2"/>
      <c r="F25" s="3"/>
    </row>
    <row r="26" spans="2:6" x14ac:dyDescent="0.35">
      <c r="B26" s="12" t="s">
        <v>8</v>
      </c>
      <c r="C26" s="2"/>
      <c r="D26" s="2"/>
      <c r="E26" s="2"/>
      <c r="F26" s="3"/>
    </row>
    <row r="28" spans="2:6" x14ac:dyDescent="0.35">
      <c r="B28" s="12" t="s">
        <v>9</v>
      </c>
    </row>
    <row r="29" spans="2:6" x14ac:dyDescent="0.35">
      <c r="B29" s="12" t="s">
        <v>10</v>
      </c>
    </row>
    <row r="31" spans="2:6" x14ac:dyDescent="0.35">
      <c r="B31" s="12" t="s">
        <v>11</v>
      </c>
    </row>
    <row r="32" spans="2:6" x14ac:dyDescent="0.35">
      <c r="B32" s="12" t="s">
        <v>20</v>
      </c>
    </row>
    <row r="33" spans="2:2" x14ac:dyDescent="0.35">
      <c r="B33" s="12" t="s">
        <v>21</v>
      </c>
    </row>
    <row r="35" spans="2:2" x14ac:dyDescent="0.35">
      <c r="B35" s="1" t="s">
        <v>12</v>
      </c>
    </row>
    <row r="36" spans="2:2" x14ac:dyDescent="0.35">
      <c r="B36" s="1" t="s">
        <v>13</v>
      </c>
    </row>
    <row r="37" spans="2:2" x14ac:dyDescent="0.35">
      <c r="B37" s="1" t="s">
        <v>14</v>
      </c>
    </row>
    <row r="38" spans="2:2" x14ac:dyDescent="0.35">
      <c r="B38" s="1" t="s">
        <v>15</v>
      </c>
    </row>
    <row r="39" spans="2:2" x14ac:dyDescent="0.35">
      <c r="B39" s="1" t="s">
        <v>16</v>
      </c>
    </row>
    <row r="40" spans="2:2" x14ac:dyDescent="0.35">
      <c r="B40" s="1" t="s">
        <v>17</v>
      </c>
    </row>
    <row r="41" spans="2:2" x14ac:dyDescent="0.35">
      <c r="B41" s="1" t="s">
        <v>18</v>
      </c>
    </row>
    <row r="42" spans="2:2" x14ac:dyDescent="0.35">
      <c r="B42" s="1" t="s">
        <v>19</v>
      </c>
    </row>
    <row r="44" spans="2:2" x14ac:dyDescent="0.35">
      <c r="B44" s="1" t="s">
        <v>25</v>
      </c>
    </row>
    <row r="45" spans="2:2" x14ac:dyDescent="0.35">
      <c r="B45" s="1" t="s">
        <v>26</v>
      </c>
    </row>
  </sheetData>
  <hyperlinks>
    <hyperlink ref="B23" r:id="rId1" xr:uid="{846F1BD9-F42C-4939-AB2C-3C994362412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4225C-5DC3-41F9-8E05-CDD08388AEF5}">
  <dimension ref="B2:B6"/>
  <sheetViews>
    <sheetView zoomScaleNormal="100" workbookViewId="0"/>
  </sheetViews>
  <sheetFormatPr defaultRowHeight="14.5" x14ac:dyDescent="0.35"/>
  <cols>
    <col min="1" max="1" width="8.7265625" style="1"/>
    <col min="2" max="2" width="87.7265625" style="7" customWidth="1"/>
    <col min="3" max="16384" width="8.7265625" style="1"/>
  </cols>
  <sheetData>
    <row r="2" spans="2:2" x14ac:dyDescent="0.35">
      <c r="B2" s="7" t="s">
        <v>27</v>
      </c>
    </row>
    <row r="4" spans="2:2" ht="75.5" customHeight="1" x14ac:dyDescent="0.35">
      <c r="B4" s="7" t="s">
        <v>28</v>
      </c>
    </row>
    <row r="6" spans="2:2" ht="43.5" x14ac:dyDescent="0.35">
      <c r="B6" s="7" t="s">
        <v>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f47f593-3511-4cc3-ad96-2f2ab4207d77">
      <Terms xmlns="http://schemas.microsoft.com/office/infopath/2007/PartnerControls"/>
    </lcf76f155ced4ddcb4097134ff3c332f>
    <TaxCatchAll xmlns="a70322e1-a38b-42c5-8c13-fe2a0eec7b3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437784DDA6E8C4A82A3E362E8B24045" ma:contentTypeVersion="20" ma:contentTypeDescription="Create a new document." ma:contentTypeScope="" ma:versionID="408e7253a2ff6b88848b5d5f4572e977">
  <xsd:schema xmlns:xsd="http://www.w3.org/2001/XMLSchema" xmlns:xs="http://www.w3.org/2001/XMLSchema" xmlns:p="http://schemas.microsoft.com/office/2006/metadata/properties" xmlns:ns2="df47f593-3511-4cc3-ad96-2f2ab4207d77" xmlns:ns3="a70322e1-a38b-42c5-8c13-fe2a0eec7b33" targetNamespace="http://schemas.microsoft.com/office/2006/metadata/properties" ma:root="true" ma:fieldsID="2a4dc31e08368037efefa4f802c9dc38" ns2:_="" ns3:_="">
    <xsd:import namespace="df47f593-3511-4cc3-ad96-2f2ab4207d77"/>
    <xsd:import namespace="a70322e1-a38b-42c5-8c13-fe2a0eec7b3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2:MediaServiceOCR" minOccurs="0"/>
                <xsd:element ref="ns3:TaxCatchAll" minOccurs="0"/>
                <xsd:element ref="ns2:lcf76f155ced4ddcb4097134ff3c332f"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47f593-3511-4cc3-ad96-2f2ab4207d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5b7e4bc-7c04-4239-a3c8-056ff7db7bf8"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0322e1-a38b-42c5-8c13-fe2a0eec7b3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58c82048-9e34-45b5-8a3c-ac7f3a4b5bed}" ma:internalName="TaxCatchAll" ma:showField="CatchAllData" ma:web="a70322e1-a38b-42c5-8c13-fe2a0eec7b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AAE29B-A4D7-43FE-9BEB-522A3EC08321}">
  <ds:schemaRefs>
    <ds:schemaRef ds:uri="http://schemas.microsoft.com/office/2006/metadata/properties"/>
    <ds:schemaRef ds:uri="http://schemas.microsoft.com/office/infopath/2007/PartnerControls"/>
    <ds:schemaRef ds:uri="df47f593-3511-4cc3-ad96-2f2ab4207d77"/>
    <ds:schemaRef ds:uri="a70322e1-a38b-42c5-8c13-fe2a0eec7b33"/>
  </ds:schemaRefs>
</ds:datastoreItem>
</file>

<file path=customXml/itemProps2.xml><?xml version="1.0" encoding="utf-8"?>
<ds:datastoreItem xmlns:ds="http://schemas.openxmlformats.org/officeDocument/2006/customXml" ds:itemID="{A8C48DDA-2C72-4DE0-B3C5-B5D01D285DA1}">
  <ds:schemaRefs>
    <ds:schemaRef ds:uri="http://schemas.microsoft.com/sharepoint/v3/contenttype/forms"/>
  </ds:schemaRefs>
</ds:datastoreItem>
</file>

<file path=customXml/itemProps3.xml><?xml version="1.0" encoding="utf-8"?>
<ds:datastoreItem xmlns:ds="http://schemas.openxmlformats.org/officeDocument/2006/customXml" ds:itemID="{92EA67A7-94F0-4371-8FCE-68022FC17C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47f593-3511-4cc3-ad96-2f2ab4207d77"/>
    <ds:schemaRef ds:uri="a70322e1-a38b-42c5-8c13-fe2a0eec7b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AdultMaleHistory</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Elden, Dawn</dc:creator>
  <cp:lastModifiedBy>Elden, Dawn</cp:lastModifiedBy>
  <dcterms:created xsi:type="dcterms:W3CDTF">2024-07-10T09:51:59Z</dcterms:created>
  <dcterms:modified xsi:type="dcterms:W3CDTF">2024-10-21T10:49:08Z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0x0101007437784DDA6E8C4A82A3E362E8B24045</vt:lpwstr>
  </property>
  <property fmtid="{D5CDD505-2E9C-101B-9397-08002B2CF9AE}" pid="3" name="MediaServiceImageTags">
    <vt:lpwstr/>
  </property>
</Properties>
</file>